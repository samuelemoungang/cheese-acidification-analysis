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ssoit-my.sharepoint.com/personal/celia_blanc_hes-so_ch/Documents/HES-SO semestre 4/Sciences et technologie des aliments/Lab/"/>
    </mc:Choice>
  </mc:AlternateContent>
  <xr:revisionPtr revIDLastSave="0" documentId="8_{609051CD-9C98-4E86-9126-D6289A6B570D}" xr6:coauthVersionLast="47" xr6:coauthVersionMax="47" xr10:uidLastSave="{00000000-0000-0000-0000-000000000000}"/>
  <bookViews>
    <workbookView xWindow="4260" yWindow="500" windowWidth="23700" windowHeight="17340" xr2:uid="{00000000-000D-0000-FFFF-FFFF00000000}"/>
  </bookViews>
  <sheets>
    <sheet name="Lab du 28.04.2026" sheetId="1" r:id="rId1"/>
    <sheet name="Lab du 05.05.2026" sheetId="4" r:id="rId2"/>
    <sheet name="Sheet2" sheetId="2" r:id="rId3"/>
    <sheet name="Sheet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9" i="1" l="1"/>
</calcChain>
</file>

<file path=xl/sharedStrings.xml><?xml version="1.0" encoding="utf-8"?>
<sst xmlns="http://schemas.openxmlformats.org/spreadsheetml/2006/main" count="183" uniqueCount="77">
  <si>
    <t>Date de fabrication :</t>
  </si>
  <si>
    <t xml:space="preserve">Responsables groupe : </t>
  </si>
  <si>
    <t>Lait</t>
  </si>
  <si>
    <t>Cultures</t>
  </si>
  <si>
    <t xml:space="preserve"> Coagulation</t>
  </si>
  <si>
    <t>Fabrication</t>
  </si>
  <si>
    <t>Retournement</t>
  </si>
  <si>
    <t>Démoulage Fromage</t>
  </si>
  <si>
    <t>Quantité de lait</t>
  </si>
  <si>
    <t>Maturation avec cultures</t>
  </si>
  <si>
    <t>T° lait matin à 8h18</t>
  </si>
  <si>
    <t xml:space="preserve">pH lait matin </t>
  </si>
  <si>
    <t xml:space="preserve">Nom :    MFR 38°C  Type de culture :   280                                                          g/UFC :  </t>
  </si>
  <si>
    <t xml:space="preserve">Nom :MFR 32°C      Type de culture : 901                                                  g/UFC :  </t>
  </si>
  <si>
    <t xml:space="preserve">Nom : Winkler GR orange Extrait de présure standard
 Force présure :1 partie -&gt; 9000 +- 5% parties de lait entier                                                           </t>
  </si>
  <si>
    <t xml:space="preserve">Décaillage </t>
  </si>
  <si>
    <t>Délactosage et brassage</t>
  </si>
  <si>
    <t>Chauffage</t>
  </si>
  <si>
    <t>Brassage final</t>
  </si>
  <si>
    <r>
      <t xml:space="preserve">5 min    pH / T°C
</t>
    </r>
    <r>
      <rPr>
        <sz val="8"/>
        <rFont val="Arial"/>
        <family val="2"/>
      </rPr>
      <t>à 11h41 h.</t>
    </r>
  </si>
  <si>
    <r>
      <t xml:space="preserve">30 min    pH / T°C
</t>
    </r>
    <r>
      <rPr>
        <sz val="8"/>
        <rFont val="Arial"/>
        <family val="2"/>
      </rPr>
      <t>à 12h06 h.</t>
    </r>
  </si>
  <si>
    <r>
      <t xml:space="preserve">60 min    pH / T°C
</t>
    </r>
    <r>
      <rPr>
        <sz val="8"/>
        <rFont val="Arial"/>
        <family val="2"/>
      </rPr>
      <t>à 13h10 h.</t>
    </r>
  </si>
  <si>
    <r>
      <t xml:space="preserve">120 min    pH / T°C
</t>
    </r>
    <r>
      <rPr>
        <sz val="8"/>
        <rFont val="Arial"/>
        <family val="2"/>
      </rPr>
      <t>à 14h18 h.</t>
    </r>
  </si>
  <si>
    <r>
      <t xml:space="preserve">240 min    pH / T°C
</t>
    </r>
    <r>
      <rPr>
        <sz val="8"/>
        <rFont val="Arial"/>
        <family val="2"/>
      </rPr>
      <t>à 14h41 h.</t>
    </r>
  </si>
  <si>
    <r>
      <t xml:space="preserve">480 min    pH / T°C
</t>
    </r>
    <r>
      <rPr>
        <sz val="8"/>
        <rFont val="Arial"/>
        <family val="2"/>
      </rPr>
      <t>à 17h36 h.</t>
    </r>
  </si>
  <si>
    <t>Nombre</t>
  </si>
  <si>
    <t>Masse total</t>
  </si>
  <si>
    <r>
      <t xml:space="preserve">Démoulage   pH / T°C
</t>
    </r>
    <r>
      <rPr>
        <sz val="8"/>
        <rFont val="Arial"/>
        <family val="2"/>
      </rPr>
      <t>à .</t>
    </r>
    <r>
      <rPr>
        <b/>
        <sz val="12"/>
        <rFont val="Arial"/>
        <family val="2"/>
      </rPr>
      <t>.</t>
    </r>
    <r>
      <rPr>
        <sz val="8"/>
        <rFont val="Arial"/>
        <family val="2"/>
      </rPr>
      <t>.. h.</t>
    </r>
  </si>
  <si>
    <t>Kg</t>
  </si>
  <si>
    <t>°C</t>
  </si>
  <si>
    <t>[-]</t>
  </si>
  <si>
    <t>Temps  [min]</t>
  </si>
  <si>
    <t>pH [-]</t>
  </si>
  <si>
    <t>T°C</t>
  </si>
  <si>
    <t xml:space="preserve">  Quantité [g]</t>
  </si>
  <si>
    <t>Quantité [ml]</t>
  </si>
  <si>
    <t>T°C présure</t>
  </si>
  <si>
    <t>Tprise [min]</t>
  </si>
  <si>
    <t>Temps durcissement [min]</t>
  </si>
  <si>
    <t>min.</t>
  </si>
  <si>
    <t>Quantité [kg]</t>
  </si>
  <si>
    <t>T°C eau</t>
  </si>
  <si>
    <t>° C</t>
  </si>
  <si>
    <t>[°C]</t>
  </si>
  <si>
    <t>[Kg]</t>
  </si>
  <si>
    <t>18min32</t>
  </si>
  <si>
    <t>29min10</t>
  </si>
  <si>
    <t>25 à 30</t>
  </si>
  <si>
    <t>0.3°C par minutes</t>
  </si>
  <si>
    <t>2 min 10</t>
  </si>
  <si>
    <t>-</t>
  </si>
  <si>
    <t>+ 165 ml d'eau</t>
  </si>
  <si>
    <t xml:space="preserve"> </t>
  </si>
  <si>
    <t>15% d'eau en +</t>
  </si>
  <si>
    <t>à la fin du brassage</t>
  </si>
  <si>
    <t>Heure du démoulage car déjà arrivé à un pH de 5.2</t>
  </si>
  <si>
    <t>Masse 1 fromage [kg]</t>
  </si>
  <si>
    <t>Contrôle microbiologie</t>
  </si>
  <si>
    <t>20'000 ufc/ml germes totaux</t>
  </si>
  <si>
    <t>Contrôle des cellules</t>
  </si>
  <si>
    <t>&lt; 10^2 ufc/ml enterococcus</t>
  </si>
  <si>
    <t>11h36</t>
  </si>
  <si>
    <t>T° lait matin à 8h28</t>
  </si>
  <si>
    <r>
      <t xml:space="preserve">0 min    pH / T°C
</t>
    </r>
    <r>
      <rPr>
        <sz val="8"/>
        <rFont val="Arial"/>
        <family val="2"/>
      </rPr>
      <t>à 11h18 h.</t>
    </r>
  </si>
  <si>
    <r>
      <t xml:space="preserve">5 min    pH / T°C
</t>
    </r>
    <r>
      <rPr>
        <sz val="8"/>
        <rFont val="Arial"/>
        <family val="2"/>
      </rPr>
      <t>à 11h27h.</t>
    </r>
  </si>
  <si>
    <r>
      <t xml:space="preserve">30 min    pH / T°C
</t>
    </r>
    <r>
      <rPr>
        <sz val="8"/>
        <rFont val="Arial"/>
        <family val="2"/>
      </rPr>
      <t>à 11h48 h.</t>
    </r>
  </si>
  <si>
    <r>
      <t xml:space="preserve">60 min    pH / T°C
</t>
    </r>
    <r>
      <rPr>
        <sz val="8"/>
        <rFont val="Arial"/>
        <family val="2"/>
      </rPr>
      <t>à 12h18 h.</t>
    </r>
  </si>
  <si>
    <r>
      <t xml:space="preserve">120 min    pH / T°C
</t>
    </r>
    <r>
      <rPr>
        <sz val="8"/>
        <rFont val="Arial"/>
        <family val="2"/>
      </rPr>
      <t>à 13h22 h.</t>
    </r>
  </si>
  <si>
    <r>
      <t xml:space="preserve">240 min    pH / T°C
</t>
    </r>
    <r>
      <rPr>
        <sz val="8"/>
        <rFont val="Arial"/>
        <family val="2"/>
      </rPr>
      <t>à 15h18 h.</t>
    </r>
  </si>
  <si>
    <r>
      <t xml:space="preserve">    pH / T°C
</t>
    </r>
    <r>
      <rPr>
        <sz val="8"/>
        <rFont val="Arial"/>
        <family val="2"/>
      </rPr>
      <t>à 16h02 h.</t>
    </r>
  </si>
  <si>
    <t>18 min 55</t>
  </si>
  <si>
    <t>27 min 34</t>
  </si>
  <si>
    <t>0 min</t>
  </si>
  <si>
    <t>10 minutes entre la fin de décaillage et l'ajout eau</t>
  </si>
  <si>
    <t>10% d'eau en +</t>
  </si>
  <si>
    <t xml:space="preserve">  </t>
  </si>
  <si>
    <t>On a couvert les moules et garder à + de 32°C afin de faire travailler + les mésophiles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</si>
</sst>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1" fillId="0" borderId="1" xfId="1" applyBorder="1" applyAlignment="1">
      <alignment horizontal="centerContinuous" wrapText="1"/>
    </xf>
    <xf numFmtId="0" fontId="1" fillId="0" borderId="1" xfId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5" xfId="1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2" borderId="15" xfId="1" applyFont="1" applyFill="1" applyBorder="1" applyAlignment="1">
      <alignment horizontal="center" wrapText="1"/>
    </xf>
    <xf numFmtId="0" fontId="4" fillId="2" borderId="12" xfId="1" applyFont="1" applyFill="1" applyBorder="1" applyAlignment="1">
      <alignment horizontal="center" wrapText="1"/>
    </xf>
    <xf numFmtId="0" fontId="0" fillId="0" borderId="20" xfId="0" applyBorder="1"/>
    <xf numFmtId="0" fontId="0" fillId="0" borderId="21" xfId="0" applyBorder="1"/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1" fillId="0" borderId="1" xfId="1" applyNumberFormat="1" applyBorder="1"/>
    <xf numFmtId="0" fontId="3" fillId="0" borderId="7" xfId="1" applyFont="1" applyBorder="1" applyAlignment="1">
      <alignment horizontal="center"/>
    </xf>
    <xf numFmtId="0" fontId="3" fillId="0" borderId="12" xfId="1" applyFont="1" applyBorder="1"/>
    <xf numFmtId="0" fontId="3" fillId="0" borderId="11" xfId="1" applyFont="1" applyBorder="1"/>
    <xf numFmtId="0" fontId="1" fillId="0" borderId="2" xfId="1" applyBorder="1"/>
    <xf numFmtId="0" fontId="1" fillId="0" borderId="4" xfId="1" applyBorder="1"/>
    <xf numFmtId="0" fontId="0" fillId="0" borderId="0" xfId="0" quotePrefix="1"/>
    <xf numFmtId="0" fontId="1" fillId="2" borderId="5" xfId="1" applyFill="1" applyBorder="1" applyAlignment="1">
      <alignment horizontal="center" wrapText="1"/>
    </xf>
    <xf numFmtId="0" fontId="0" fillId="3" borderId="1" xfId="0" applyFill="1" applyBorder="1"/>
    <xf numFmtId="0" fontId="4" fillId="4" borderId="1" xfId="1" applyFont="1" applyFill="1" applyBorder="1" applyAlignment="1">
      <alignment horizontal="center"/>
    </xf>
    <xf numFmtId="0" fontId="3" fillId="0" borderId="3" xfId="1" applyFont="1" applyBorder="1"/>
    <xf numFmtId="0" fontId="1" fillId="0" borderId="23" xfId="1" applyBorder="1"/>
    <xf numFmtId="0" fontId="1" fillId="3" borderId="24" xfId="1" applyFill="1" applyBorder="1" applyAlignment="1">
      <alignment horizontal="center"/>
    </xf>
    <xf numFmtId="0" fontId="1" fillId="5" borderId="4" xfId="1" applyFill="1" applyBorder="1"/>
    <xf numFmtId="0" fontId="8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" fillId="2" borderId="2" xfId="1" applyFill="1" applyBorder="1" applyAlignment="1">
      <alignment horizontal="center" wrapText="1"/>
    </xf>
    <xf numFmtId="0" fontId="1" fillId="2" borderId="4" xfId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5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3" borderId="1" xfId="1" applyFill="1" applyBorder="1" applyAlignment="1">
      <alignment horizontal="center" vertical="top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5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10" xfId="1" applyFont="1" applyBorder="1" applyAlignment="1">
      <alignment horizontal="center" wrapText="1"/>
    </xf>
    <xf numFmtId="0" fontId="4" fillId="0" borderId="12" xfId="1" applyFont="1" applyBorder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0" fontId="3" fillId="0" borderId="13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1" fillId="0" borderId="2" xfId="1" applyBorder="1" applyAlignment="1">
      <alignment horizontal="center" wrapText="1"/>
    </xf>
    <xf numFmtId="0" fontId="1" fillId="0" borderId="23" xfId="1" applyBorder="1" applyAlignment="1">
      <alignment horizontal="center" wrapText="1"/>
    </xf>
    <xf numFmtId="0" fontId="1" fillId="0" borderId="4" xfId="1" applyBorder="1" applyAlignment="1">
      <alignment horizontal="center" wrapText="1"/>
    </xf>
    <xf numFmtId="0" fontId="1" fillId="0" borderId="2" xfId="1" applyBorder="1" applyAlignment="1">
      <alignment horizontal="center" vertical="top" wrapText="1"/>
    </xf>
    <xf numFmtId="0" fontId="1" fillId="0" borderId="4" xfId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Sem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0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70"/>
            <c:dispRSqr val="0"/>
            <c:dispEq val="0"/>
          </c:trendline>
          <c:xVal>
            <c:numRef>
              <c:f>('Lab du 28.04.2026'!$AD$9,'Lab du 28.04.2026'!$AE$9,'Lab du 28.04.2026'!$AG$9,'Lab du 28.04.2026'!$AI$9,'Lab du 28.04.2026'!$AK$9,'Lab du 28.04.2026'!$AM$10)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30</c:v>
                </c:pt>
                <c:pt idx="3">
                  <c:v>94</c:v>
                </c:pt>
                <c:pt idx="4">
                  <c:v>162</c:v>
                </c:pt>
                <c:pt idx="5">
                  <c:v>185</c:v>
                </c:pt>
              </c:numCache>
            </c:numRef>
          </c:xVal>
          <c:yVal>
            <c:numRef>
              <c:f>('Lab du 28.04.2026'!$AD$8,'Lab du 28.04.2026'!$AE$8,'Lab du 28.04.2026'!$AG$8,'Lab du 28.04.2026'!$AI$8,'Lab du 28.04.2026'!$AK$8,'Lab du 28.04.2026'!$AM$8)</c:f>
              <c:numCache>
                <c:formatCode>General</c:formatCode>
                <c:ptCount val="6"/>
                <c:pt idx="0">
                  <c:v>6.5</c:v>
                </c:pt>
                <c:pt idx="1">
                  <c:v>6.1</c:v>
                </c:pt>
                <c:pt idx="2">
                  <c:v>5.9</c:v>
                </c:pt>
                <c:pt idx="3">
                  <c:v>5.4</c:v>
                </c:pt>
                <c:pt idx="4">
                  <c:v>5.22</c:v>
                </c:pt>
                <c:pt idx="5">
                  <c:v>5.15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5B5-4423-BC0C-4A3ABD374AFF}"/>
            </c:ext>
          </c:extLst>
        </c:ser>
        <c:ser>
          <c:idx val="1"/>
          <c:order val="1"/>
          <c:tx>
            <c:v>Sem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('Lab du 05.05.2026'!$AE$9,'Lab du 05.05.2026'!$AG$9,'Lab du 05.05.2026'!$AI$9,'Lab du 05.05.2026'!$AK$9,'Lab du 05.05.2026'!$AM$9,'Lab du 05.05.2026'!$AO$9)</c:f>
              <c:numCache>
                <c:formatCode>General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30</c:v>
                </c:pt>
                <c:pt idx="3">
                  <c:v>60</c:v>
                </c:pt>
                <c:pt idx="4">
                  <c:v>124</c:v>
                </c:pt>
                <c:pt idx="5">
                  <c:v>240</c:v>
                </c:pt>
              </c:numCache>
            </c:numRef>
          </c:xVal>
          <c:yVal>
            <c:numRef>
              <c:f>('Lab du 05.05.2026'!$AE$8,'Lab du 05.05.2026'!$AG$8,'Lab du 05.05.2026'!$AI$8,'Lab du 05.05.2026'!$AK$8,'Lab du 05.05.2026'!$AM$8,'Lab du 05.05.2026'!$AO$8)</c:f>
              <c:numCache>
                <c:formatCode>General</c:formatCode>
                <c:ptCount val="6"/>
                <c:pt idx="0">
                  <c:v>6.38</c:v>
                </c:pt>
                <c:pt idx="1">
                  <c:v>6.34</c:v>
                </c:pt>
                <c:pt idx="2">
                  <c:v>6.17</c:v>
                </c:pt>
                <c:pt idx="3">
                  <c:v>6.08</c:v>
                </c:pt>
                <c:pt idx="4">
                  <c:v>5.59</c:v>
                </c:pt>
                <c:pt idx="5">
                  <c:v>5.27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5B5-4423-BC0C-4A3ABD374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375424"/>
        <c:axId val="1610375904"/>
      </c:scatterChart>
      <c:valAx>
        <c:axId val="161037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0375904"/>
        <c:crosses val="autoZero"/>
        <c:crossBetween val="midCat"/>
      </c:valAx>
      <c:valAx>
        <c:axId val="1610375904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037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8135691637597223"/>
          <c:y val="0.88007484237228573"/>
          <c:w val="0.58982554017600042"/>
          <c:h val="7.9276987834015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 du 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('Lab du 28.04.2026'!$C$8,'Lab du 28.04.2026'!$M$8,'Lab du 28.04.2026'!$S$8,'Lab du 28.04.2026'!$W$8,'Lab du 28.04.2026'!$AD$8,'Lab du 28.04.2026'!$AE$8,'Lab du 28.04.2026'!$AG$8,'Lab du 28.04.2026'!$AI$8,'Lab du 28.04.2026'!$AK$8,'Lab du 28.04.2026'!$AM$8)</c:f>
              <c:numCache>
                <c:formatCode>General</c:formatCode>
                <c:ptCount val="10"/>
                <c:pt idx="0">
                  <c:v>6.64</c:v>
                </c:pt>
                <c:pt idx="1">
                  <c:v>6.65</c:v>
                </c:pt>
                <c:pt idx="2">
                  <c:v>6.6</c:v>
                </c:pt>
                <c:pt idx="3">
                  <c:v>6.67</c:v>
                </c:pt>
                <c:pt idx="4">
                  <c:v>6.5</c:v>
                </c:pt>
                <c:pt idx="5">
                  <c:v>6.1</c:v>
                </c:pt>
                <c:pt idx="6">
                  <c:v>5.9</c:v>
                </c:pt>
                <c:pt idx="7">
                  <c:v>5.4</c:v>
                </c:pt>
                <c:pt idx="8">
                  <c:v>5.22</c:v>
                </c:pt>
                <c:pt idx="9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6-5547-87A7-AF5F2FA16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776111"/>
        <c:axId val="2072402303"/>
      </c:lineChart>
      <c:catAx>
        <c:axId val="2142776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P"/>
          </a:p>
        </c:txPr>
        <c:crossAx val="2072402303"/>
        <c:crosses val="autoZero"/>
        <c:auto val="1"/>
        <c:lblAlgn val="ctr"/>
        <c:lblOffset val="100"/>
        <c:noMultiLvlLbl val="0"/>
      </c:catAx>
      <c:valAx>
        <c:axId val="2072402303"/>
        <c:scaling>
          <c:orientation val="minMax"/>
          <c:max val="7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P"/>
          </a:p>
        </c:txPr>
        <c:crossAx val="214277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298046</xdr:colOff>
      <xdr:row>12</xdr:row>
      <xdr:rowOff>109639</xdr:rowOff>
    </xdr:from>
    <xdr:to>
      <xdr:col>39</xdr:col>
      <xdr:colOff>2374220</xdr:colOff>
      <xdr:row>27</xdr:row>
      <xdr:rowOff>111360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6C68C-9C96-E269-F331-EC94F4BEC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344607</xdr:colOff>
      <xdr:row>12</xdr:row>
      <xdr:rowOff>87192</xdr:rowOff>
    </xdr:from>
    <xdr:to>
      <xdr:col>18</xdr:col>
      <xdr:colOff>258695</xdr:colOff>
      <xdr:row>26</xdr:row>
      <xdr:rowOff>140980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B59A26-8952-6310-0D9B-B21C28E8B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4"/>
  <sheetViews>
    <sheetView tabSelected="1" topLeftCell="I1" zoomScaleNormal="119" workbookViewId="0">
      <selection activeCell="Z9" sqref="Z9:Z14"/>
    </sheetView>
  </sheetViews>
  <sheetFormatPr defaultColWidth="9.140625" defaultRowHeight="15"/>
  <cols>
    <col min="1" max="1" width="10.140625" bestFit="1" customWidth="1"/>
    <col min="2" max="2" width="17.28515625" bestFit="1" customWidth="1"/>
    <col min="7" max="7" width="20.42578125" bestFit="1" customWidth="1"/>
    <col min="8" max="9" width="20.42578125" customWidth="1"/>
    <col min="10" max="10" width="18.42578125" bestFit="1" customWidth="1"/>
    <col min="11" max="11" width="18.7109375" customWidth="1"/>
    <col min="14" max="14" width="11" bestFit="1" customWidth="1"/>
    <col min="17" max="17" width="11.28515625" bestFit="1" customWidth="1"/>
    <col min="18" max="19" width="11.28515625" customWidth="1"/>
    <col min="20" max="20" width="11" customWidth="1"/>
    <col min="40" max="40" width="42.28515625" bestFit="1" customWidth="1"/>
    <col min="44" max="44" width="10.85546875" bestFit="1" customWidth="1"/>
    <col min="45" max="46" width="10.42578125" customWidth="1"/>
  </cols>
  <sheetData>
    <row r="1" spans="1:46">
      <c r="B1" t="s">
        <v>0</v>
      </c>
      <c r="G1" t="s">
        <v>1</v>
      </c>
    </row>
    <row r="3" spans="1:46" ht="15.95" thickBot="1"/>
    <row r="4" spans="1:46" ht="15" customHeight="1">
      <c r="A4" s="56" t="s">
        <v>2</v>
      </c>
      <c r="B4" s="57"/>
      <c r="C4" s="57"/>
      <c r="D4" s="21"/>
      <c r="E4" s="21"/>
      <c r="F4" s="21"/>
      <c r="G4" s="68" t="s">
        <v>3</v>
      </c>
      <c r="H4" s="69"/>
      <c r="I4" s="69"/>
      <c r="J4" s="70"/>
      <c r="K4" s="58" t="s">
        <v>4</v>
      </c>
      <c r="L4" s="58"/>
      <c r="M4" s="58"/>
      <c r="N4" s="58"/>
      <c r="O4" s="58"/>
      <c r="P4" s="58"/>
      <c r="Q4" s="50" t="s">
        <v>5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2"/>
      <c r="AC4" s="18"/>
      <c r="AD4" s="18"/>
      <c r="AE4" s="50" t="s">
        <v>6</v>
      </c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2"/>
      <c r="AQ4" s="60" t="s">
        <v>7</v>
      </c>
      <c r="AR4" s="61"/>
      <c r="AS4" s="61"/>
      <c r="AT4" s="61"/>
    </row>
    <row r="5" spans="1:46" ht="15" customHeight="1">
      <c r="A5" s="48" t="s">
        <v>8</v>
      </c>
      <c r="B5" s="6"/>
      <c r="C5" s="14"/>
      <c r="D5" s="62" t="s">
        <v>9</v>
      </c>
      <c r="E5" s="63"/>
      <c r="F5" s="64"/>
      <c r="G5" s="22">
        <v>1</v>
      </c>
      <c r="H5" s="30"/>
      <c r="I5" s="30"/>
      <c r="J5" s="23">
        <v>2</v>
      </c>
      <c r="K5" s="58"/>
      <c r="L5" s="58"/>
      <c r="M5" s="58"/>
      <c r="N5" s="58"/>
      <c r="O5" s="58"/>
      <c r="P5" s="58"/>
      <c r="Q5" s="53"/>
      <c r="R5" s="54"/>
      <c r="S5" s="54"/>
      <c r="T5" s="54"/>
      <c r="U5" s="54"/>
      <c r="V5" s="54"/>
      <c r="W5" s="54"/>
      <c r="X5" s="54"/>
      <c r="Y5" s="54"/>
      <c r="Z5" s="54"/>
      <c r="AA5" s="54"/>
      <c r="AB5" s="55"/>
      <c r="AC5" s="19"/>
      <c r="AD5" s="19"/>
      <c r="AE5" s="53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5"/>
      <c r="AQ5" s="60"/>
      <c r="AR5" s="61"/>
      <c r="AS5" s="61"/>
      <c r="AT5" s="61"/>
    </row>
    <row r="6" spans="1:46" ht="44.25" customHeight="1">
      <c r="A6" s="49"/>
      <c r="B6" s="27" t="s">
        <v>10</v>
      </c>
      <c r="C6" s="15" t="s">
        <v>11</v>
      </c>
      <c r="D6" s="65"/>
      <c r="E6" s="66"/>
      <c r="F6" s="67"/>
      <c r="G6" s="74" t="s">
        <v>12</v>
      </c>
      <c r="H6" s="75"/>
      <c r="I6" s="74" t="s">
        <v>13</v>
      </c>
      <c r="J6" s="75"/>
      <c r="K6" s="59" t="s">
        <v>14</v>
      </c>
      <c r="L6" s="59"/>
      <c r="M6" s="59"/>
      <c r="N6" s="59"/>
      <c r="O6" s="59"/>
      <c r="P6" s="59"/>
      <c r="Q6" s="1" t="s">
        <v>15</v>
      </c>
      <c r="R6" s="1"/>
      <c r="S6" s="1"/>
      <c r="T6" s="71" t="s">
        <v>16</v>
      </c>
      <c r="U6" s="72"/>
      <c r="V6" s="72"/>
      <c r="W6" s="72"/>
      <c r="X6" s="73"/>
      <c r="Y6" s="1" t="s">
        <v>17</v>
      </c>
      <c r="Z6" s="1"/>
      <c r="AA6" s="1"/>
      <c r="AB6" s="71" t="s">
        <v>18</v>
      </c>
      <c r="AC6" s="72"/>
      <c r="AD6" s="73"/>
      <c r="AE6" s="40" t="s">
        <v>19</v>
      </c>
      <c r="AF6" s="41"/>
      <c r="AG6" s="40" t="s">
        <v>20</v>
      </c>
      <c r="AH6" s="41"/>
      <c r="AI6" s="40" t="s">
        <v>21</v>
      </c>
      <c r="AJ6" s="41"/>
      <c r="AK6" s="40" t="s">
        <v>22</v>
      </c>
      <c r="AL6" s="41"/>
      <c r="AM6" s="40" t="s">
        <v>23</v>
      </c>
      <c r="AN6" s="41"/>
      <c r="AO6" s="40" t="s">
        <v>24</v>
      </c>
      <c r="AP6" s="41"/>
      <c r="AQ6" s="4" t="s">
        <v>25</v>
      </c>
      <c r="AR6" s="4" t="s">
        <v>26</v>
      </c>
      <c r="AS6" s="40" t="s">
        <v>27</v>
      </c>
      <c r="AT6" s="41"/>
    </row>
    <row r="7" spans="1:46" ht="48">
      <c r="A7" s="7" t="s">
        <v>28</v>
      </c>
      <c r="B7" s="6" t="s">
        <v>29</v>
      </c>
      <c r="C7" s="6" t="s">
        <v>30</v>
      </c>
      <c r="D7" s="8" t="s">
        <v>31</v>
      </c>
      <c r="E7" s="8" t="s">
        <v>32</v>
      </c>
      <c r="F7" s="7" t="s">
        <v>33</v>
      </c>
      <c r="G7" s="24" t="s">
        <v>34</v>
      </c>
      <c r="H7" s="31" t="s">
        <v>32</v>
      </c>
      <c r="I7" s="24" t="s">
        <v>34</v>
      </c>
      <c r="J7" s="25" t="s">
        <v>32</v>
      </c>
      <c r="K7" s="2" t="s">
        <v>35</v>
      </c>
      <c r="L7" s="2" t="s">
        <v>33</v>
      </c>
      <c r="M7" s="2" t="s">
        <v>32</v>
      </c>
      <c r="N7" s="2" t="s">
        <v>36</v>
      </c>
      <c r="O7" s="11" t="s">
        <v>37</v>
      </c>
      <c r="P7" s="12" t="s">
        <v>38</v>
      </c>
      <c r="Q7" s="5" t="s">
        <v>39</v>
      </c>
      <c r="R7" s="2" t="s">
        <v>33</v>
      </c>
      <c r="S7" s="2" t="s">
        <v>32</v>
      </c>
      <c r="T7" s="4" t="s">
        <v>40</v>
      </c>
      <c r="U7" s="4" t="s">
        <v>41</v>
      </c>
      <c r="V7" s="2" t="s">
        <v>33</v>
      </c>
      <c r="W7" s="2" t="s">
        <v>32</v>
      </c>
      <c r="X7" s="5"/>
      <c r="Y7" s="5" t="s">
        <v>42</v>
      </c>
      <c r="Z7" s="5" t="s">
        <v>32</v>
      </c>
      <c r="AA7" s="5" t="s">
        <v>39</v>
      </c>
      <c r="AB7" s="5" t="s">
        <v>39</v>
      </c>
      <c r="AC7" s="5" t="s">
        <v>42</v>
      </c>
      <c r="AD7" s="5" t="s">
        <v>32</v>
      </c>
      <c r="AE7" s="6" t="s">
        <v>30</v>
      </c>
      <c r="AF7" s="6" t="s">
        <v>43</v>
      </c>
      <c r="AG7" s="6" t="s">
        <v>30</v>
      </c>
      <c r="AH7" s="6" t="s">
        <v>43</v>
      </c>
      <c r="AI7" s="6" t="s">
        <v>30</v>
      </c>
      <c r="AJ7" s="6" t="s">
        <v>43</v>
      </c>
      <c r="AK7" s="6" t="s">
        <v>30</v>
      </c>
      <c r="AL7" s="6" t="s">
        <v>43</v>
      </c>
      <c r="AM7" s="6" t="s">
        <v>30</v>
      </c>
      <c r="AN7" s="6" t="s">
        <v>43</v>
      </c>
      <c r="AO7" s="6" t="s">
        <v>30</v>
      </c>
      <c r="AP7" s="6" t="s">
        <v>43</v>
      </c>
      <c r="AQ7" s="2" t="s">
        <v>30</v>
      </c>
      <c r="AR7" s="2" t="s">
        <v>44</v>
      </c>
      <c r="AS7" s="6" t="s">
        <v>30</v>
      </c>
      <c r="AT7" s="6" t="s">
        <v>43</v>
      </c>
    </row>
    <row r="8" spans="1:46">
      <c r="A8" s="9">
        <v>282</v>
      </c>
      <c r="B8" s="9">
        <v>8.6</v>
      </c>
      <c r="C8" s="9">
        <v>6.64</v>
      </c>
      <c r="D8" s="9">
        <v>45</v>
      </c>
      <c r="E8" s="29"/>
      <c r="F8" s="10">
        <v>32.799999999999997</v>
      </c>
      <c r="G8" s="24">
        <v>974.2</v>
      </c>
      <c r="H8" s="31">
        <v>4.03</v>
      </c>
      <c r="I8" s="25">
        <v>282</v>
      </c>
      <c r="J8" s="25">
        <v>4.58</v>
      </c>
      <c r="K8" s="2">
        <v>55</v>
      </c>
      <c r="L8" s="2">
        <v>33</v>
      </c>
      <c r="M8" s="2">
        <v>6.65</v>
      </c>
      <c r="N8" s="2">
        <v>31.4</v>
      </c>
      <c r="O8" s="28" t="s">
        <v>45</v>
      </c>
      <c r="P8" s="28" t="s">
        <v>46</v>
      </c>
      <c r="Q8" s="3" t="s">
        <v>47</v>
      </c>
      <c r="R8" s="3">
        <v>32</v>
      </c>
      <c r="S8" s="3">
        <v>6.6</v>
      </c>
      <c r="T8" s="3">
        <v>42.3</v>
      </c>
      <c r="U8" s="13">
        <v>31.6</v>
      </c>
      <c r="V8" s="13">
        <v>32</v>
      </c>
      <c r="W8" s="3">
        <v>6.67</v>
      </c>
      <c r="X8" s="20"/>
      <c r="Y8" s="46" t="s">
        <v>48</v>
      </c>
      <c r="Z8" s="47"/>
      <c r="AA8" s="3">
        <v>30</v>
      </c>
      <c r="AB8" s="3" t="s">
        <v>49</v>
      </c>
      <c r="AC8" s="3">
        <v>40.200000000000003</v>
      </c>
      <c r="AD8" s="3">
        <v>6.5</v>
      </c>
      <c r="AE8" s="3">
        <v>6.1</v>
      </c>
      <c r="AF8" s="3">
        <v>38.299999999999997</v>
      </c>
      <c r="AG8" s="3">
        <v>5.9</v>
      </c>
      <c r="AH8" s="3">
        <v>38.1</v>
      </c>
      <c r="AI8" s="3">
        <v>5.4</v>
      </c>
      <c r="AJ8" s="3">
        <v>36.1</v>
      </c>
      <c r="AK8" s="3">
        <v>5.22</v>
      </c>
      <c r="AL8" s="3">
        <v>34.5</v>
      </c>
      <c r="AM8" s="3">
        <v>5.15</v>
      </c>
      <c r="AN8" s="3">
        <v>33.799999999999997</v>
      </c>
      <c r="AO8" s="3" t="s">
        <v>50</v>
      </c>
      <c r="AP8" s="3" t="s">
        <v>50</v>
      </c>
      <c r="AQ8" s="13">
        <v>6</v>
      </c>
      <c r="AR8" s="34">
        <v>34.340000000000003</v>
      </c>
      <c r="AS8" s="13"/>
      <c r="AT8" s="13"/>
    </row>
    <row r="9" spans="1:46" ht="48">
      <c r="K9" s="26" t="s">
        <v>51</v>
      </c>
      <c r="M9" t="s">
        <v>52</v>
      </c>
      <c r="T9" t="s">
        <v>53</v>
      </c>
      <c r="Y9" s="5">
        <v>35</v>
      </c>
      <c r="Z9" s="5">
        <v>6.63</v>
      </c>
      <c r="AA9" s="5">
        <v>5</v>
      </c>
      <c r="AC9" t="s">
        <v>54</v>
      </c>
      <c r="AD9" s="37">
        <v>0</v>
      </c>
      <c r="AE9" s="37">
        <v>5</v>
      </c>
      <c r="AG9">
        <v>30</v>
      </c>
      <c r="AI9">
        <v>94</v>
      </c>
      <c r="AK9">
        <v>162</v>
      </c>
      <c r="AN9" t="s">
        <v>55</v>
      </c>
      <c r="AQ9" s="35" t="s">
        <v>56</v>
      </c>
      <c r="AR9" s="36">
        <f>AR8/AQ8</f>
        <v>5.7233333333333336</v>
      </c>
    </row>
    <row r="10" spans="1:46" ht="15.95" thickBot="1">
      <c r="Y10" s="5">
        <v>36.4</v>
      </c>
      <c r="Z10" s="5">
        <v>6.61</v>
      </c>
      <c r="AA10" s="5">
        <v>10</v>
      </c>
      <c r="AM10">
        <v>185</v>
      </c>
    </row>
    <row r="11" spans="1:46">
      <c r="B11" s="44" t="s">
        <v>57</v>
      </c>
      <c r="C11" s="45"/>
      <c r="D11" s="42" t="s">
        <v>58</v>
      </c>
      <c r="E11" s="42"/>
      <c r="F11" s="42"/>
      <c r="G11" s="42"/>
      <c r="H11" s="42"/>
      <c r="I11" s="42"/>
      <c r="J11" s="43"/>
      <c r="Y11" s="5">
        <v>38</v>
      </c>
      <c r="Z11" s="5">
        <v>6.6</v>
      </c>
      <c r="AA11" s="5">
        <v>15</v>
      </c>
    </row>
    <row r="12" spans="1:46" ht="15.95" thickBot="1">
      <c r="B12" s="38" t="s">
        <v>59</v>
      </c>
      <c r="C12" s="39"/>
      <c r="D12" s="16"/>
      <c r="E12" s="16"/>
      <c r="F12" s="16"/>
      <c r="G12" s="16" t="s">
        <v>60</v>
      </c>
      <c r="H12" s="16"/>
      <c r="I12" s="16"/>
      <c r="J12" s="17"/>
      <c r="Y12" s="5">
        <v>39.6</v>
      </c>
      <c r="Z12" s="5">
        <v>6.58</v>
      </c>
      <c r="AA12" s="5">
        <v>20</v>
      </c>
      <c r="AD12" t="s">
        <v>61</v>
      </c>
    </row>
    <row r="13" spans="1:46">
      <c r="Y13" s="5">
        <v>40.200000000000003</v>
      </c>
      <c r="Z13" s="5">
        <v>6.53</v>
      </c>
      <c r="AA13" s="5">
        <v>25</v>
      </c>
    </row>
    <row r="14" spans="1:46">
      <c r="Y14" s="5">
        <v>40.200000000000003</v>
      </c>
      <c r="Z14" s="5">
        <v>6.57</v>
      </c>
      <c r="AA14" s="5">
        <v>30</v>
      </c>
    </row>
  </sheetData>
  <mergeCells count="24">
    <mergeCell ref="AS6:AT6"/>
    <mergeCell ref="AE4:AP5"/>
    <mergeCell ref="AQ4:AT5"/>
    <mergeCell ref="D5:F6"/>
    <mergeCell ref="G4:J4"/>
    <mergeCell ref="AB6:AD6"/>
    <mergeCell ref="T6:X6"/>
    <mergeCell ref="G6:H6"/>
    <mergeCell ref="I6:J6"/>
    <mergeCell ref="A5:A6"/>
    <mergeCell ref="Q4:AB5"/>
    <mergeCell ref="A4:C4"/>
    <mergeCell ref="K4:P5"/>
    <mergeCell ref="K6:P6"/>
    <mergeCell ref="B12:C12"/>
    <mergeCell ref="AO6:AP6"/>
    <mergeCell ref="AM6:AN6"/>
    <mergeCell ref="AK6:AL6"/>
    <mergeCell ref="AI6:AJ6"/>
    <mergeCell ref="AG6:AH6"/>
    <mergeCell ref="AE6:AF6"/>
    <mergeCell ref="D11:J11"/>
    <mergeCell ref="B11:C11"/>
    <mergeCell ref="Y8:Z8"/>
  </mergeCells>
  <phoneticPr fontId="7" type="noConversion"/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B5D3-B275-4820-BBC5-BB09C060F36A}">
  <sheetPr>
    <pageSetUpPr fitToPage="1"/>
  </sheetPr>
  <dimension ref="A1:AV14"/>
  <sheetViews>
    <sheetView zoomScale="109" zoomScaleNormal="235" workbookViewId="0">
      <selection activeCell="AB24" sqref="AB24"/>
    </sheetView>
  </sheetViews>
  <sheetFormatPr defaultColWidth="9.140625" defaultRowHeight="15"/>
  <cols>
    <col min="1" max="1" width="10.140625" bestFit="1" customWidth="1"/>
    <col min="2" max="2" width="17.28515625" bestFit="1" customWidth="1"/>
    <col min="7" max="7" width="20.42578125" bestFit="1" customWidth="1"/>
    <col min="8" max="9" width="20.42578125" customWidth="1"/>
    <col min="10" max="10" width="18.42578125" bestFit="1" customWidth="1"/>
    <col min="11" max="11" width="18.7109375" customWidth="1"/>
    <col min="14" max="14" width="11" bestFit="1" customWidth="1"/>
    <col min="17" max="17" width="11.28515625" bestFit="1" customWidth="1"/>
    <col min="18" max="19" width="11.28515625" customWidth="1"/>
    <col min="20" max="20" width="11" customWidth="1"/>
    <col min="42" max="42" width="42.28515625" bestFit="1" customWidth="1"/>
    <col min="47" max="48" width="10.42578125" customWidth="1"/>
  </cols>
  <sheetData>
    <row r="1" spans="1:48">
      <c r="B1" t="s">
        <v>0</v>
      </c>
      <c r="G1" t="s">
        <v>1</v>
      </c>
    </row>
    <row r="3" spans="1:48" ht="15.95" thickBot="1"/>
    <row r="4" spans="1:48" ht="15" customHeight="1">
      <c r="A4" s="56" t="s">
        <v>2</v>
      </c>
      <c r="B4" s="57"/>
      <c r="C4" s="57"/>
      <c r="D4" s="21"/>
      <c r="E4" s="21"/>
      <c r="F4" s="21"/>
      <c r="G4" s="68" t="s">
        <v>3</v>
      </c>
      <c r="H4" s="69"/>
      <c r="I4" s="69"/>
      <c r="J4" s="70"/>
      <c r="K4" s="58" t="s">
        <v>4</v>
      </c>
      <c r="L4" s="58"/>
      <c r="M4" s="58"/>
      <c r="N4" s="58"/>
      <c r="O4" s="58"/>
      <c r="P4" s="58"/>
      <c r="Q4" s="50" t="s">
        <v>5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2"/>
      <c r="AC4" s="18"/>
      <c r="AD4" s="18"/>
      <c r="AE4" s="18"/>
      <c r="AF4" s="18"/>
      <c r="AG4" s="50" t="s">
        <v>6</v>
      </c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60" t="s">
        <v>7</v>
      </c>
      <c r="AT4" s="61"/>
      <c r="AU4" s="61"/>
      <c r="AV4" s="61"/>
    </row>
    <row r="5" spans="1:48" ht="15" customHeight="1">
      <c r="A5" s="48" t="s">
        <v>8</v>
      </c>
      <c r="B5" s="6"/>
      <c r="C5" s="14"/>
      <c r="D5" s="62" t="s">
        <v>9</v>
      </c>
      <c r="E5" s="63"/>
      <c r="F5" s="64"/>
      <c r="G5" s="22">
        <v>1</v>
      </c>
      <c r="H5" s="30"/>
      <c r="I5" s="30"/>
      <c r="J5" s="23">
        <v>2</v>
      </c>
      <c r="K5" s="58"/>
      <c r="L5" s="58"/>
      <c r="M5" s="58"/>
      <c r="N5" s="58"/>
      <c r="O5" s="58"/>
      <c r="P5" s="58"/>
      <c r="Q5" s="53"/>
      <c r="R5" s="54"/>
      <c r="S5" s="54"/>
      <c r="T5" s="54"/>
      <c r="U5" s="54"/>
      <c r="V5" s="54"/>
      <c r="W5" s="54"/>
      <c r="X5" s="54"/>
      <c r="Y5" s="54"/>
      <c r="Z5" s="54"/>
      <c r="AA5" s="54"/>
      <c r="AB5" s="55"/>
      <c r="AC5" s="19"/>
      <c r="AD5" s="19"/>
      <c r="AE5" s="19"/>
      <c r="AF5" s="19"/>
      <c r="AG5" s="53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5"/>
      <c r="AS5" s="60"/>
      <c r="AT5" s="61"/>
      <c r="AU5" s="61"/>
      <c r="AV5" s="61"/>
    </row>
    <row r="6" spans="1:48" ht="44.25" customHeight="1">
      <c r="A6" s="49"/>
      <c r="B6" s="27" t="s">
        <v>62</v>
      </c>
      <c r="C6" s="15" t="s">
        <v>11</v>
      </c>
      <c r="D6" s="65"/>
      <c r="E6" s="66"/>
      <c r="F6" s="67"/>
      <c r="G6" s="74" t="s">
        <v>12</v>
      </c>
      <c r="H6" s="75"/>
      <c r="I6" s="74" t="s">
        <v>13</v>
      </c>
      <c r="J6" s="75"/>
      <c r="K6" s="59" t="s">
        <v>14</v>
      </c>
      <c r="L6" s="59"/>
      <c r="M6" s="59"/>
      <c r="N6" s="59"/>
      <c r="O6" s="59"/>
      <c r="P6" s="59"/>
      <c r="Q6" s="1" t="s">
        <v>15</v>
      </c>
      <c r="R6" s="1"/>
      <c r="S6" s="1"/>
      <c r="T6" s="71" t="s">
        <v>16</v>
      </c>
      <c r="U6" s="72"/>
      <c r="V6" s="72"/>
      <c r="W6" s="72"/>
      <c r="X6" s="73"/>
      <c r="Y6" s="1" t="s">
        <v>17</v>
      </c>
      <c r="Z6" s="1"/>
      <c r="AA6" s="1"/>
      <c r="AB6" s="71" t="s">
        <v>18</v>
      </c>
      <c r="AC6" s="72"/>
      <c r="AD6" s="73"/>
      <c r="AE6" s="40" t="s">
        <v>63</v>
      </c>
      <c r="AF6" s="41"/>
      <c r="AG6" s="40" t="s">
        <v>64</v>
      </c>
      <c r="AH6" s="41"/>
      <c r="AI6" s="40" t="s">
        <v>65</v>
      </c>
      <c r="AJ6" s="41"/>
      <c r="AK6" s="40" t="s">
        <v>66</v>
      </c>
      <c r="AL6" s="41"/>
      <c r="AM6" s="40" t="s">
        <v>67</v>
      </c>
      <c r="AN6" s="41"/>
      <c r="AO6" s="40" t="s">
        <v>68</v>
      </c>
      <c r="AP6" s="41"/>
      <c r="AQ6" s="40" t="s">
        <v>69</v>
      </c>
      <c r="AR6" s="41"/>
      <c r="AS6" s="4" t="s">
        <v>25</v>
      </c>
      <c r="AT6" s="4" t="s">
        <v>26</v>
      </c>
      <c r="AU6" s="40" t="s">
        <v>27</v>
      </c>
      <c r="AV6" s="41"/>
    </row>
    <row r="7" spans="1:48" ht="48">
      <c r="A7" s="7" t="s">
        <v>28</v>
      </c>
      <c r="B7" s="6" t="s">
        <v>29</v>
      </c>
      <c r="C7" s="6" t="s">
        <v>30</v>
      </c>
      <c r="D7" s="8" t="s">
        <v>31</v>
      </c>
      <c r="E7" s="8" t="s">
        <v>32</v>
      </c>
      <c r="F7" s="7" t="s">
        <v>33</v>
      </c>
      <c r="G7" s="24" t="s">
        <v>34</v>
      </c>
      <c r="H7" s="31" t="s">
        <v>32</v>
      </c>
      <c r="I7" s="24" t="s">
        <v>34</v>
      </c>
      <c r="J7" s="25" t="s">
        <v>32</v>
      </c>
      <c r="K7" s="2" t="s">
        <v>35</v>
      </c>
      <c r="L7" s="2" t="s">
        <v>33</v>
      </c>
      <c r="M7" s="2" t="s">
        <v>32</v>
      </c>
      <c r="N7" s="2" t="s">
        <v>36</v>
      </c>
      <c r="O7" s="11" t="s">
        <v>37</v>
      </c>
      <c r="P7" s="12" t="s">
        <v>38</v>
      </c>
      <c r="Q7" s="5" t="s">
        <v>39</v>
      </c>
      <c r="R7" s="2" t="s">
        <v>33</v>
      </c>
      <c r="S7" s="2" t="s">
        <v>32</v>
      </c>
      <c r="T7" s="4" t="s">
        <v>40</v>
      </c>
      <c r="U7" s="4" t="s">
        <v>41</v>
      </c>
      <c r="V7" s="2" t="s">
        <v>33</v>
      </c>
      <c r="W7" s="2" t="s">
        <v>32</v>
      </c>
      <c r="X7" s="5"/>
      <c r="Y7" s="5" t="s">
        <v>42</v>
      </c>
      <c r="Z7" s="5" t="s">
        <v>32</v>
      </c>
      <c r="AA7" s="5" t="s">
        <v>39</v>
      </c>
      <c r="AB7" s="5" t="s">
        <v>39</v>
      </c>
      <c r="AC7" s="5" t="s">
        <v>42</v>
      </c>
      <c r="AD7" s="5" t="s">
        <v>32</v>
      </c>
      <c r="AE7" s="6" t="s">
        <v>30</v>
      </c>
      <c r="AF7" s="6" t="s">
        <v>43</v>
      </c>
      <c r="AG7" s="6" t="s">
        <v>30</v>
      </c>
      <c r="AH7" s="6" t="s">
        <v>43</v>
      </c>
      <c r="AI7" s="6" t="s">
        <v>30</v>
      </c>
      <c r="AJ7" s="6" t="s">
        <v>43</v>
      </c>
      <c r="AK7" s="6" t="s">
        <v>30</v>
      </c>
      <c r="AL7" s="6" t="s">
        <v>43</v>
      </c>
      <c r="AM7" s="6" t="s">
        <v>30</v>
      </c>
      <c r="AN7" s="6" t="s">
        <v>43</v>
      </c>
      <c r="AO7" s="6" t="s">
        <v>30</v>
      </c>
      <c r="AP7" s="6" t="s">
        <v>43</v>
      </c>
      <c r="AQ7" s="6" t="s">
        <v>30</v>
      </c>
      <c r="AR7" s="6" t="s">
        <v>43</v>
      </c>
      <c r="AS7" s="2" t="s">
        <v>30</v>
      </c>
      <c r="AT7" s="2" t="s">
        <v>44</v>
      </c>
      <c r="AU7" s="6" t="s">
        <v>30</v>
      </c>
      <c r="AV7" s="6" t="s">
        <v>43</v>
      </c>
    </row>
    <row r="8" spans="1:48">
      <c r="A8" s="9">
        <v>282</v>
      </c>
      <c r="B8" s="9">
        <v>11.3</v>
      </c>
      <c r="C8" s="9">
        <v>6.64</v>
      </c>
      <c r="D8" s="9">
        <v>45</v>
      </c>
      <c r="E8" s="9">
        <v>6.56</v>
      </c>
      <c r="F8" s="10">
        <v>32.799999999999997</v>
      </c>
      <c r="G8" s="24">
        <v>282</v>
      </c>
      <c r="H8" s="31">
        <v>4.04</v>
      </c>
      <c r="I8" s="25">
        <v>564</v>
      </c>
      <c r="J8" s="33">
        <v>6.17</v>
      </c>
      <c r="K8" s="2">
        <v>55</v>
      </c>
      <c r="L8" s="2">
        <v>32.6</v>
      </c>
      <c r="M8" s="2">
        <v>6.53</v>
      </c>
      <c r="N8" s="2">
        <v>25.7</v>
      </c>
      <c r="O8" s="28" t="s">
        <v>70</v>
      </c>
      <c r="P8" s="32" t="s">
        <v>71</v>
      </c>
      <c r="Q8" s="3" t="s">
        <v>47</v>
      </c>
      <c r="R8" s="3">
        <v>32.700000000000003</v>
      </c>
      <c r="S8" s="3">
        <v>6.51</v>
      </c>
      <c r="T8" s="3">
        <v>28.2</v>
      </c>
      <c r="U8" s="13">
        <v>34.200000000000003</v>
      </c>
      <c r="V8" s="13">
        <v>32.200000000000003</v>
      </c>
      <c r="W8" s="3">
        <v>6.55</v>
      </c>
      <c r="X8" s="20" t="s">
        <v>72</v>
      </c>
      <c r="Y8" s="46" t="s">
        <v>48</v>
      </c>
      <c r="Z8" s="47"/>
      <c r="AA8" s="3">
        <v>30</v>
      </c>
      <c r="AB8" s="3">
        <v>16.32</v>
      </c>
      <c r="AC8" s="3">
        <v>40.200000000000003</v>
      </c>
      <c r="AD8" s="3">
        <v>6.46</v>
      </c>
      <c r="AE8" s="3">
        <v>6.38</v>
      </c>
      <c r="AF8" s="3">
        <v>38.4</v>
      </c>
      <c r="AG8" s="3">
        <v>6.34</v>
      </c>
      <c r="AH8" s="3">
        <v>37.5</v>
      </c>
      <c r="AI8" s="3">
        <v>6.17</v>
      </c>
      <c r="AJ8" s="3">
        <v>36</v>
      </c>
      <c r="AK8" s="3">
        <v>6.08</v>
      </c>
      <c r="AL8" s="3">
        <v>35</v>
      </c>
      <c r="AM8" s="3">
        <v>5.59</v>
      </c>
      <c r="AN8" s="3">
        <v>32.200000000000003</v>
      </c>
      <c r="AO8" s="3">
        <v>5.27</v>
      </c>
      <c r="AP8" s="3">
        <v>32.9</v>
      </c>
      <c r="AQ8" s="3">
        <v>5.15</v>
      </c>
      <c r="AR8" s="3" t="s">
        <v>50</v>
      </c>
      <c r="AS8" s="13"/>
      <c r="AT8" s="13"/>
      <c r="AU8" s="13"/>
      <c r="AV8" s="13"/>
    </row>
    <row r="9" spans="1:48">
      <c r="K9" s="26" t="s">
        <v>51</v>
      </c>
      <c r="M9" t="s">
        <v>52</v>
      </c>
      <c r="Q9" t="s">
        <v>73</v>
      </c>
      <c r="T9" t="s">
        <v>74</v>
      </c>
      <c r="Y9" s="5" t="s">
        <v>50</v>
      </c>
      <c r="Z9" s="5" t="s">
        <v>50</v>
      </c>
      <c r="AA9" s="5">
        <v>5</v>
      </c>
      <c r="AC9" t="s">
        <v>75</v>
      </c>
      <c r="AE9">
        <v>0</v>
      </c>
      <c r="AG9">
        <v>9</v>
      </c>
      <c r="AI9">
        <v>30</v>
      </c>
      <c r="AK9">
        <v>60</v>
      </c>
      <c r="AM9">
        <v>124</v>
      </c>
      <c r="AO9">
        <v>240</v>
      </c>
      <c r="AQ9">
        <v>284</v>
      </c>
    </row>
    <row r="10" spans="1:48" ht="15.95" thickBot="1">
      <c r="Y10" s="5">
        <v>33.6</v>
      </c>
      <c r="Z10" s="5">
        <v>6.53</v>
      </c>
      <c r="AA10" s="5">
        <v>10</v>
      </c>
      <c r="AM10" t="s">
        <v>76</v>
      </c>
    </row>
    <row r="11" spans="1:48">
      <c r="B11" s="44" t="s">
        <v>57</v>
      </c>
      <c r="C11" s="45"/>
      <c r="D11" s="42"/>
      <c r="E11" s="42"/>
      <c r="F11" s="42"/>
      <c r="G11" s="42"/>
      <c r="H11" s="42"/>
      <c r="I11" s="42"/>
      <c r="J11" s="43"/>
      <c r="Y11" s="5">
        <v>35.200000000000003</v>
      </c>
      <c r="Z11" s="5">
        <v>6.53</v>
      </c>
      <c r="AA11" s="5">
        <v>15</v>
      </c>
    </row>
    <row r="12" spans="1:48" ht="15.95" thickBot="1">
      <c r="B12" s="38" t="s">
        <v>59</v>
      </c>
      <c r="C12" s="39"/>
      <c r="D12" s="16"/>
      <c r="E12" s="16"/>
      <c r="F12" s="16"/>
      <c r="G12" s="16"/>
      <c r="H12" s="16"/>
      <c r="I12" s="16"/>
      <c r="J12" s="17"/>
      <c r="Y12" s="5">
        <v>37.200000000000003</v>
      </c>
      <c r="Z12" s="5">
        <v>6.52</v>
      </c>
      <c r="AA12" s="5">
        <v>20</v>
      </c>
    </row>
    <row r="13" spans="1:48">
      <c r="Y13" s="5">
        <v>39</v>
      </c>
      <c r="Z13" s="5">
        <v>6.49</v>
      </c>
      <c r="AA13" s="5">
        <v>25</v>
      </c>
    </row>
    <row r="14" spans="1:48">
      <c r="Y14" s="5">
        <v>40.200000000000003</v>
      </c>
      <c r="Z14" s="5">
        <v>6.53</v>
      </c>
      <c r="AA14" s="5">
        <v>30</v>
      </c>
    </row>
  </sheetData>
  <mergeCells count="25">
    <mergeCell ref="B12:C12"/>
    <mergeCell ref="AE6:AF6"/>
    <mergeCell ref="AM6:AN6"/>
    <mergeCell ref="AO6:AP6"/>
    <mergeCell ref="AQ6:AR6"/>
    <mergeCell ref="Y8:Z8"/>
    <mergeCell ref="B11:C11"/>
    <mergeCell ref="D11:J11"/>
    <mergeCell ref="K6:P6"/>
    <mergeCell ref="T6:X6"/>
    <mergeCell ref="AS4:AV5"/>
    <mergeCell ref="A5:A6"/>
    <mergeCell ref="D5:F6"/>
    <mergeCell ref="G6:H6"/>
    <mergeCell ref="I6:J6"/>
    <mergeCell ref="A4:C4"/>
    <mergeCell ref="G4:J4"/>
    <mergeCell ref="K4:P5"/>
    <mergeCell ref="Q4:AB5"/>
    <mergeCell ref="AG4:AR5"/>
    <mergeCell ref="AU6:AV6"/>
    <mergeCell ref="AB6:AD6"/>
    <mergeCell ref="AG6:AH6"/>
    <mergeCell ref="AI6:AJ6"/>
    <mergeCell ref="AK6:AL6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" sqref="B2"/>
    </sheetView>
  </sheetViews>
  <sheetFormatPr defaultColWidth="9.1406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HES-SO // Valais - Wallis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Dimitri bocquel</dc:creator>
  <cp:keywords/>
  <dc:description/>
  <cp:lastModifiedBy/>
  <cp:revision/>
  <dcterms:created xsi:type="dcterms:W3CDTF">2015-04-23T07:57:00Z</dcterms:created>
  <dcterms:modified xsi:type="dcterms:W3CDTF">2026-06-05T13:16:33Z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-832431778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dimitri.bocquel@hevs.ch</vt:lpwstr>
  </property>
  <property fmtid="{D5CDD505-2E9C-101B-9397-08002B2CF9AE}" pid="6" name="_AuthorEmailDisplayName">
    <vt:lpwstr>Bocquel Dimitri</vt:lpwstr>
  </property>
  <property fmtid="{D5CDD505-2E9C-101B-9397-08002B2CF9AE}" pid="7" name="_PreviousAdHocReviewCycleID">
    <vt:i4>-1622874187</vt:i4>
  </property>
  <property fmtid="{D5CDD505-2E9C-101B-9397-08002B2CF9AE}" pid="8" name="_ReviewingToolsShownOnce">
    <vt:lpwstr/>
  </property>
</Properties>
</file>